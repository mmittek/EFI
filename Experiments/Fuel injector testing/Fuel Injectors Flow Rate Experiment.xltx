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/>
  <workbookPr showInkAnnotation="0" autoCompressPictures="0"/>
  <bookViews>
    <workbookView xWindow="11920" yWindow="840" windowWidth="13000" windowHeight="1118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2" i="1"/>
  <c r="G2" i="1"/>
  <c r="G3" i="1"/>
  <c r="G4" i="1"/>
  <c r="G5" i="1"/>
  <c r="G6" i="1"/>
  <c r="G7" i="1"/>
  <c r="F3" i="1"/>
  <c r="F4" i="1"/>
  <c r="F5" i="1"/>
  <c r="F6" i="1"/>
  <c r="F7" i="1"/>
  <c r="F2" i="1"/>
  <c r="E3" i="1"/>
  <c r="E4" i="1"/>
  <c r="E5" i="1"/>
  <c r="E6" i="1"/>
  <c r="E7" i="1"/>
  <c r="E2" i="1"/>
  <c r="D3" i="1"/>
  <c r="D4" i="1"/>
  <c r="D5" i="1"/>
  <c r="D6" i="1"/>
  <c r="D7" i="1"/>
  <c r="D2" i="1"/>
</calcChain>
</file>

<file path=xl/sharedStrings.xml><?xml version="1.0" encoding="utf-8"?>
<sst xmlns="http://schemas.openxmlformats.org/spreadsheetml/2006/main" count="8" uniqueCount="8">
  <si>
    <t>N. Ticks</t>
  </si>
  <si>
    <t>Ms per tick</t>
  </si>
  <si>
    <t>Amount  [ml]</t>
  </si>
  <si>
    <t>Total time</t>
  </si>
  <si>
    <t>Flow ml/ms</t>
  </si>
  <si>
    <t>Flow l/h</t>
  </si>
  <si>
    <t>Flow l/min</t>
  </si>
  <si>
    <t>Flow cc/min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</si>
</sst>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tabSelected="1" workbookViewId="0">
      <selection activeCell="G9" sqref="G9"/>
    </sheetView>
  </sheetViews>
  <sheetFormatPr baseColWidth="10" defaultRowHeight="15" x14ac:dyDescent="0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600</v>
      </c>
      <c r="B2">
        <v>10</v>
      </c>
      <c r="C2">
        <v>22.5</v>
      </c>
      <c r="D2">
        <f>B2*A2</f>
        <v>6000</v>
      </c>
      <c r="E2">
        <f>C2/D2</f>
        <v>3.7499999999999999E-3</v>
      </c>
      <c r="F2">
        <f>E2*3600000/1000</f>
        <v>13.5</v>
      </c>
      <c r="G2">
        <f>E2*60</f>
        <v>0.22499999999999998</v>
      </c>
      <c r="H2">
        <f>E2*60000</f>
        <v>225</v>
      </c>
    </row>
    <row r="3" spans="1:8">
      <c r="A3">
        <v>600</v>
      </c>
      <c r="B3">
        <v>10</v>
      </c>
      <c r="C3">
        <v>22.5</v>
      </c>
      <c r="D3">
        <f t="shared" ref="D3:D7" si="0">B3*A3</f>
        <v>6000</v>
      </c>
      <c r="E3">
        <f t="shared" ref="E3:E7" si="1">C3/D3</f>
        <v>3.7499999999999999E-3</v>
      </c>
      <c r="F3">
        <f t="shared" ref="F3:F7" si="2">E3*3600000/1000</f>
        <v>13.5</v>
      </c>
      <c r="G3">
        <f t="shared" ref="G3:G7" si="3">E3*60000/1000</f>
        <v>0.22500000000000001</v>
      </c>
      <c r="H3">
        <f t="shared" ref="H3:H7" si="4">E3*60000</f>
        <v>225</v>
      </c>
    </row>
    <row r="4" spans="1:8">
      <c r="A4">
        <v>600</v>
      </c>
      <c r="B4">
        <v>10</v>
      </c>
      <c r="C4">
        <v>22.5</v>
      </c>
      <c r="D4">
        <f t="shared" si="0"/>
        <v>6000</v>
      </c>
      <c r="E4">
        <f t="shared" si="1"/>
        <v>3.7499999999999999E-3</v>
      </c>
      <c r="F4">
        <f t="shared" si="2"/>
        <v>13.5</v>
      </c>
      <c r="G4">
        <f t="shared" si="3"/>
        <v>0.22500000000000001</v>
      </c>
      <c r="H4">
        <f t="shared" si="4"/>
        <v>225</v>
      </c>
    </row>
    <row r="5" spans="1:8">
      <c r="A5">
        <v>600</v>
      </c>
      <c r="B5">
        <v>10</v>
      </c>
      <c r="C5">
        <v>22.5</v>
      </c>
      <c r="D5">
        <f t="shared" si="0"/>
        <v>6000</v>
      </c>
      <c r="E5">
        <f t="shared" si="1"/>
        <v>3.7499999999999999E-3</v>
      </c>
      <c r="F5">
        <f t="shared" si="2"/>
        <v>13.5</v>
      </c>
      <c r="G5">
        <f t="shared" si="3"/>
        <v>0.22500000000000001</v>
      </c>
      <c r="H5">
        <f t="shared" si="4"/>
        <v>225</v>
      </c>
    </row>
    <row r="6" spans="1:8">
      <c r="A6">
        <v>1000</v>
      </c>
      <c r="B6">
        <v>10</v>
      </c>
      <c r="C6">
        <v>37.5</v>
      </c>
      <c r="D6">
        <f t="shared" si="0"/>
        <v>10000</v>
      </c>
      <c r="E6">
        <f t="shared" si="1"/>
        <v>3.7499999999999999E-3</v>
      </c>
      <c r="F6">
        <f t="shared" si="2"/>
        <v>13.5</v>
      </c>
      <c r="G6">
        <f t="shared" si="3"/>
        <v>0.22500000000000001</v>
      </c>
      <c r="H6">
        <f t="shared" si="4"/>
        <v>225</v>
      </c>
    </row>
    <row r="7" spans="1:8">
      <c r="A7">
        <v>500</v>
      </c>
      <c r="B7">
        <v>20</v>
      </c>
      <c r="C7">
        <v>37.5</v>
      </c>
      <c r="D7">
        <f t="shared" si="0"/>
        <v>10000</v>
      </c>
      <c r="E7">
        <f t="shared" si="1"/>
        <v>3.7499999999999999E-3</v>
      </c>
      <c r="F7">
        <f t="shared" si="2"/>
        <v>13.5</v>
      </c>
      <c r="G7">
        <f t="shared" si="3"/>
        <v>0.22500000000000001</v>
      </c>
      <c r="H7">
        <f t="shared" si="4"/>
        <v>225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Nebraska-Lincoln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Mittek</dc:creator>
  <cp:lastModifiedBy>Mateusz Mittek</cp:lastModifiedBy>
  <dcterms:created xsi:type="dcterms:W3CDTF">2016-04-15T00:59:39Z</dcterms:created>
  <dcterms:modified xsi:type="dcterms:W3CDTF">2016-04-15T01:59:17Z</dcterms:modified>
</cp:coreProperties>
</file>